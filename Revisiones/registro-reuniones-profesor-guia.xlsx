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<sst xmlns="http://schemas.openxmlformats.org/spreadsheetml/2006/main" count="39" uniqueCount="31">
  <si>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t xml:space="preserve">Registro de reuniones con el profesor guía — Track Studio</t>
  </si>
  <si>
    <t xml:space="preserve">Integrantes:</t>
  </si>
  <si>
    <t xml:space="preserve">Profesor guía:</t>
  </si>
  <si>
    <t xml:space="preserve">Plan:</t>
  </si>
  <si>
    <t xml:space="preserve">12 semanas · 6 sprints de 2 semanas · meta 9 % de avance por semana (acumulado)</t>
  </si>
  <si>
    <t xml:space="preserve">Horario:</t>
  </si>
  <si>
    <t xml:space="preserve">Miércoles 17:00</t>
  </si>
  <si>
    <t xml:space="preserve">N°</t>
  </si>
  <si>
    <t xml:space="preserve">Semana</t>
  </si>
  <si>
    <t xml:space="preserve">Sprint</t>
  </si>
  <si>
    <t xml:space="preserve">Fecha reunión</t>
  </si>
  <si>
    <t xml:space="preserve">Hora</t>
  </si>
  <si>
    <t xml:space="preserve">Tema tratado</t>
  </si>
  <si>
    <t xml:space="preserve">Avance esperado acumulado (%)</t>
  </si>
  <si>
    <t xml:space="preserve">Avance real acumulado (%)</t>
  </si>
  <si>
    <t xml:space="preserve">Desviación (pts)</t>
  </si>
  <si>
    <t xml:space="preserve">Siguiente sesión</t>
  </si>
  <si>
    <t xml:space="preserve">Pendientes</t>
  </si>
  <si>
    <t xml:space="preserve">Próxima reunión</t>
  </si>
  <si>
    <t xml:space="preserve">Visto bueno profesor</t>
  </si>
  <si>
    <t xml:space="preserve">S1</t>
  </si>
  <si>
    <t xml:space="preserve">Levantamiento de proyecto en github (Monorepo) y proyecto configurado en Jira. Login configurado con Auth0 backend y frontend. Y RBAC entre productor y usuario</t>
  </si>
  <si>
    <t xml:space="preserve">ok</t>
  </si>
  <si>
    <t xml:space="preserve">Registro y edición de artistas</t>
  </si>
  <si>
    <t xml:space="preserve">S2</t>
  </si>
  <si>
    <t xml:space="preserve">Registro y edición de Artistas (con RBAC de productor)</t>
  </si>
  <si>
    <t xml:space="preserve">CRUD artistas y producciones y configuración de dominio con DNS</t>
  </si>
  <si>
    <t xml:space="preserve">S3</t>
  </si>
  <si>
    <t xml:space="preserve">S4</t>
  </si>
  <si>
    <t xml:space="preserve">S5</t>
  </si>
  <si>
    <t xml:space="preserve">S6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</si>
</sst>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7" topLeftCell="A8" activePane="bottomLeft" state="frozen"/>
      <selection pane="topLeft" activeCell="A1" activeCellId="0" sqref="A1"/>
      <selection pane="bottomLeft" activeCell="N12" activeCellId="0" sqref="N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.82"/>
    <col collapsed="false" customWidth="true" hidden="false" outlineLevel="0" max="3" min="3" style="0" width="9.39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23.99"/>
    <col collapsed="false" customWidth="true" hidden="false" outlineLevel="0" max="9" min="9" style="0" width="12.69"/>
    <col collapsed="false" customWidth="true" hidden="false" outlineLevel="0" max="10" min="10" style="0" width="40"/>
    <col collapsed="false" customWidth="true" hidden="false" outlineLevel="0" max="11" min="11" style="0" width="32"/>
    <col collapsed="false" customWidth="true" hidden="false" outlineLevel="0" max="12" min="12" style="0" width="13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7" customFormat="false" ht="31.5" hidden="false" customHeight="true" outlineLevel="0" collapsed="false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</row>
    <row r="8" customFormat="false" ht="45" hidden="false" customHeight="true" outlineLevel="0" collapsed="false">
      <c r="A8" s="4" t="n">
        <v>1</v>
      </c>
      <c r="B8" s="4" t="n">
        <v>1</v>
      </c>
      <c r="C8" s="4" t="s">
        <v>20</v>
      </c>
      <c r="D8" s="5" t="n">
        <v>46288</v>
      </c>
      <c r="E8" s="6" t="n">
        <v>0.708333333333333</v>
      </c>
      <c r="F8" s="7" t="s">
        <v>21</v>
      </c>
      <c r="G8" s="8" t="n">
        <f aca="false">MIN(B8*9,100)</f>
        <v>9</v>
      </c>
      <c r="H8" s="8"/>
      <c r="I8" s="8" t="str">
        <f aca="false">IF(H8="","",H8-G8)</f>
        <v/>
      </c>
      <c r="J8" s="9"/>
      <c r="K8" s="9"/>
      <c r="L8" s="5" t="n">
        <f aca="false">D8+7</f>
        <v>46295</v>
      </c>
      <c r="M8" s="9" t="s">
        <v>22</v>
      </c>
    </row>
    <row r="9" customFormat="false" ht="45" hidden="false" customHeight="true" outlineLevel="0" collapsed="false">
      <c r="A9" s="4" t="n">
        <v>2</v>
      </c>
      <c r="B9" s="4" t="n">
        <v>2</v>
      </c>
      <c r="C9" s="4" t="s">
        <v>20</v>
      </c>
      <c r="D9" s="5" t="n">
        <v>46295</v>
      </c>
      <c r="E9" s="6" t="n">
        <v>0.708333333333333</v>
      </c>
      <c r="F9" s="7"/>
      <c r="G9" s="8" t="n">
        <f aca="false">MIN(B9*9,100)</f>
        <v>18</v>
      </c>
      <c r="H9" s="8" t="n">
        <v>18</v>
      </c>
      <c r="I9" s="8" t="n">
        <f aca="false">IF(H9="","",H9-G9)</f>
        <v>0</v>
      </c>
      <c r="J9" s="9" t="s">
        <v>23</v>
      </c>
      <c r="K9" s="9"/>
      <c r="L9" s="5" t="n">
        <f aca="false">D9+7</f>
        <v>46302</v>
      </c>
      <c r="M9" s="9" t="s">
        <v>22</v>
      </c>
    </row>
    <row r="10" customFormat="false" ht="45" hidden="false" customHeight="true" outlineLevel="0" collapsed="false">
      <c r="A10" s="4" t="n">
        <v>3</v>
      </c>
      <c r="B10" s="4" t="n">
        <v>3</v>
      </c>
      <c r="C10" s="4" t="s">
        <v>24</v>
      </c>
      <c r="D10" s="5" t="n">
        <v>46302</v>
      </c>
      <c r="E10" s="6" t="n">
        <v>0.708333333333333</v>
      </c>
      <c r="F10" s="9" t="s">
        <v>25</v>
      </c>
      <c r="G10" s="8" t="n">
        <f aca="false">MIN(B10*9,100)</f>
        <v>27</v>
      </c>
      <c r="H10" s="8" t="n">
        <v>23.9</v>
      </c>
      <c r="I10" s="8" t="n">
        <f aca="false">IF(H10="","",H10-G10)</f>
        <v>-3.1</v>
      </c>
      <c r="J10" s="9" t="s">
        <v>26</v>
      </c>
      <c r="K10" s="9"/>
      <c r="L10" s="5" t="n">
        <f aca="false">D10+7</f>
        <v>46309</v>
      </c>
      <c r="M10" s="9" t="s">
        <v>22</v>
      </c>
    </row>
    <row r="11" customFormat="false" ht="45" hidden="false" customHeight="true" outlineLevel="0" collapsed="false">
      <c r="A11" s="4" t="n">
        <v>4</v>
      </c>
      <c r="B11" s="4" t="n">
        <v>4</v>
      </c>
      <c r="C11" s="4" t="s">
        <v>24</v>
      </c>
      <c r="D11" s="5" t="n">
        <v>46309</v>
      </c>
      <c r="E11" s="6" t="n">
        <v>0.708333333333333</v>
      </c>
      <c r="F11" s="9"/>
      <c r="G11" s="8" t="n">
        <f aca="false">MIN(B11*9,100)</f>
        <v>36</v>
      </c>
      <c r="H11" s="8"/>
      <c r="I11" s="8" t="str">
        <f aca="false">IF(H11="","",H11-G11)</f>
        <v/>
      </c>
      <c r="J11" s="9"/>
      <c r="K11" s="9"/>
      <c r="L11" s="5" t="n">
        <f aca="false">D11+7</f>
        <v>46316</v>
      </c>
      <c r="M11" s="9"/>
    </row>
    <row r="12" customFormat="false" ht="45" hidden="false" customHeight="true" outlineLevel="0" collapsed="false">
      <c r="A12" s="4" t="n">
        <v>5</v>
      </c>
      <c r="B12" s="4" t="n">
        <v>5</v>
      </c>
      <c r="C12" s="4" t="s">
        <v>27</v>
      </c>
      <c r="D12" s="5" t="n">
        <v>46316</v>
      </c>
      <c r="E12" s="6" t="n">
        <v>0.708333333333333</v>
      </c>
      <c r="F12" s="9"/>
      <c r="G12" s="8" t="n">
        <f aca="false">MIN(B12*9,100)</f>
        <v>45</v>
      </c>
      <c r="H12" s="8"/>
      <c r="I12" s="8" t="str">
        <f aca="false">IF(H12="","",H12-G12)</f>
        <v/>
      </c>
      <c r="J12" s="9"/>
      <c r="K12" s="9"/>
      <c r="L12" s="5" t="n">
        <f aca="false">D12+7</f>
        <v>46323</v>
      </c>
      <c r="M12" s="9"/>
    </row>
    <row r="13" customFormat="false" ht="45" hidden="false" customHeight="true" outlineLevel="0" collapsed="false">
      <c r="A13" s="4" t="n">
        <v>6</v>
      </c>
      <c r="B13" s="4" t="n">
        <v>6</v>
      </c>
      <c r="C13" s="4" t="s">
        <v>27</v>
      </c>
      <c r="D13" s="5" t="n">
        <v>46323</v>
      </c>
      <c r="E13" s="6" t="n">
        <v>0.708333333333333</v>
      </c>
      <c r="F13" s="9"/>
      <c r="G13" s="8" t="n">
        <f aca="false">MIN(B13*9,100)</f>
        <v>54</v>
      </c>
      <c r="H13" s="8"/>
      <c r="I13" s="8" t="str">
        <f aca="false">IF(H13="","",H13-G13)</f>
        <v/>
      </c>
      <c r="J13" s="9"/>
      <c r="K13" s="9"/>
      <c r="L13" s="5" t="n">
        <f aca="false">D13+7</f>
        <v>46330</v>
      </c>
      <c r="M13" s="9"/>
    </row>
    <row r="14" customFormat="false" ht="45" hidden="false" customHeight="true" outlineLevel="0" collapsed="false">
      <c r="A14" s="4" t="n">
        <v>7</v>
      </c>
      <c r="B14" s="4" t="n">
        <v>7</v>
      </c>
      <c r="C14" s="4" t="s">
        <v>28</v>
      </c>
      <c r="D14" s="5" t="n">
        <v>46330</v>
      </c>
      <c r="E14" s="6" t="n">
        <v>0.708333333333333</v>
      </c>
      <c r="F14" s="9"/>
      <c r="G14" s="8" t="n">
        <f aca="false">MIN(B14*9,100)</f>
        <v>63</v>
      </c>
      <c r="H14" s="8"/>
      <c r="I14" s="8" t="str">
        <f aca="false">IF(H14="","",H14-G14)</f>
        <v/>
      </c>
      <c r="J14" s="9"/>
      <c r="K14" s="9"/>
      <c r="L14" s="5" t="n">
        <f aca="false">D14+7</f>
        <v>46337</v>
      </c>
      <c r="M14" s="9"/>
    </row>
    <row r="15" customFormat="false" ht="45" hidden="false" customHeight="true" outlineLevel="0" collapsed="false">
      <c r="A15" s="4" t="n">
        <v>8</v>
      </c>
      <c r="B15" s="4" t="n">
        <v>8</v>
      </c>
      <c r="C15" s="4" t="s">
        <v>28</v>
      </c>
      <c r="D15" s="5" t="n">
        <v>46337</v>
      </c>
      <c r="E15" s="6" t="n">
        <v>0.708333333333333</v>
      </c>
      <c r="F15" s="9"/>
      <c r="G15" s="8" t="n">
        <f aca="false">MIN(B15*9,100)</f>
        <v>72</v>
      </c>
      <c r="H15" s="8"/>
      <c r="I15" s="8" t="str">
        <f aca="false">IF(H15="","",H15-G15)</f>
        <v/>
      </c>
      <c r="J15" s="9"/>
      <c r="K15" s="9"/>
      <c r="L15" s="5" t="n">
        <f aca="false">D15+7</f>
        <v>46344</v>
      </c>
      <c r="M15" s="9"/>
    </row>
    <row r="16" customFormat="false" ht="45" hidden="false" customHeight="true" outlineLevel="0" collapsed="false">
      <c r="A16" s="4" t="n">
        <v>9</v>
      </c>
      <c r="B16" s="4" t="n">
        <v>9</v>
      </c>
      <c r="C16" s="4" t="s">
        <v>29</v>
      </c>
      <c r="D16" s="5" t="n">
        <v>46344</v>
      </c>
      <c r="E16" s="6" t="n">
        <v>0.708333333333333</v>
      </c>
      <c r="F16" s="9"/>
      <c r="G16" s="8" t="n">
        <f aca="false">MIN(B16*9,100)</f>
        <v>81</v>
      </c>
      <c r="H16" s="8"/>
      <c r="I16" s="8" t="str">
        <f aca="false">IF(H16="","",H16-G16)</f>
        <v/>
      </c>
      <c r="J16" s="9"/>
      <c r="K16" s="9"/>
      <c r="L16" s="5" t="n">
        <f aca="false">D16+7</f>
        <v>46351</v>
      </c>
      <c r="M16" s="9"/>
    </row>
    <row r="17" customFormat="false" ht="45" hidden="false" customHeight="true" outlineLevel="0" collapsed="false">
      <c r="A17" s="4" t="n">
        <v>10</v>
      </c>
      <c r="B17" s="4" t="n">
        <v>10</v>
      </c>
      <c r="C17" s="4" t="s">
        <v>29</v>
      </c>
      <c r="D17" s="5" t="n">
        <v>46351</v>
      </c>
      <c r="E17" s="6" t="n">
        <v>0.708333333333333</v>
      </c>
      <c r="F17" s="9"/>
      <c r="G17" s="8" t="n">
        <f aca="false">MIN(B17*9,100)</f>
        <v>90</v>
      </c>
      <c r="H17" s="8"/>
      <c r="I17" s="8" t="str">
        <f aca="false">IF(H17="","",H17-G17)</f>
        <v/>
      </c>
      <c r="J17" s="9"/>
      <c r="K17" s="9"/>
      <c r="L17" s="5" t="n">
        <f aca="false">D17+7</f>
        <v>46358</v>
      </c>
      <c r="M17" s="9"/>
    </row>
    <row r="18" customFormat="false" ht="45" hidden="false" customHeight="true" outlineLevel="0" collapsed="false">
      <c r="A18" s="4" t="n">
        <v>11</v>
      </c>
      <c r="B18" s="4" t="n">
        <v>11</v>
      </c>
      <c r="C18" s="4" t="s">
        <v>30</v>
      </c>
      <c r="D18" s="5" t="n">
        <v>46358</v>
      </c>
      <c r="E18" s="6" t="n">
        <v>0.708333333333333</v>
      </c>
      <c r="F18" s="9"/>
      <c r="G18" s="8" t="n">
        <f aca="false">MIN(B18*9,100)</f>
        <v>99</v>
      </c>
      <c r="H18" s="8"/>
      <c r="I18" s="8" t="str">
        <f aca="false">IF(H18="","",H18-G18)</f>
        <v/>
      </c>
      <c r="J18" s="9"/>
      <c r="K18" s="9"/>
      <c r="L18" s="5" t="n">
        <f aca="false">D18+7</f>
        <v>46365</v>
      </c>
      <c r="M18" s="9"/>
    </row>
    <row r="19" customFormat="false" ht="45" hidden="false" customHeight="true" outlineLevel="0" collapsed="false">
      <c r="A19" s="4" t="n">
        <v>12</v>
      </c>
      <c r="B19" s="4" t="n">
        <v>12</v>
      </c>
      <c r="C19" s="4" t="s">
        <v>30</v>
      </c>
      <c r="D19" s="5" t="n">
        <v>46365</v>
      </c>
      <c r="E19" s="6" t="n">
        <v>0.708333333333333</v>
      </c>
      <c r="F19" s="9"/>
      <c r="G19" s="8" t="n">
        <f aca="false">MIN(B19*9,100)</f>
        <v>100</v>
      </c>
      <c r="H19" s="8"/>
      <c r="I19" s="8" t="str">
        <f aca="false">IF(H19="","",H19-G19)</f>
        <v/>
      </c>
      <c r="J19" s="9"/>
      <c r="K19" s="9"/>
      <c r="L19" s="5" t="n">
        <f aca="false">D19+7</f>
        <v>46372</v>
      </c>
      <c r="M19" s="9"/>
    </row>
  </sheetData>
  <mergeCells count="1">
    <mergeCell ref="F8:F9"/>
  </mergeCells>
  <conditionalFormatting sqref="I8:I19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2026-10-07T21:40:40Z</dcterms:created>
  <dc:creator>openpyxl</dc:creator>
  <dc:description/>
  <dc:language>en-US</dc:language>
  <cp:lastModifiedBy/>
  <dcterms:modified xsi:type="dcterms:W3CDTF">2026-10-07T17:38:52Z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